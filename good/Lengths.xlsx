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10" yWindow="-110" windowWidth="19420" windowHeight="11020"/>
  </bookViews>
  <sheets>
    <sheet name="Лист1" sheetId="1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/>
  <c r="B24"/>
  <c r="C23"/>
  <c r="B23"/>
  <c r="C22"/>
  <c r="B22"/>
  <c r="C21"/>
  <c r="B21"/>
  <c r="C19"/>
  <c r="B19"/>
  <c r="B20"/>
  <c r="C20"/>
</calcChain>
</file>

<file path=xl/sharedStrings.xml><?xml version="1.0" encoding="utf-8"?>
<sst xmlns="http://schemas.openxmlformats.org/spreadsheetml/2006/main" count="26" uniqueCount="26">
  <si>
    <t>38-1486-03</t>
  </si>
  <si>
    <t>38-1485-03</t>
  </si>
  <si>
    <t>38-1482-03</t>
  </si>
  <si>
    <t>38-1456-03</t>
  </si>
  <si>
    <t>38-1444-03</t>
  </si>
  <si>
    <t>38-1244-02</t>
  </si>
  <si>
    <t>38-1237-02</t>
  </si>
  <si>
    <t>38-1234-02</t>
  </si>
  <si>
    <t>38-1231-02</t>
  </si>
  <si>
    <t>38-1228-02</t>
  </si>
  <si>
    <t>38-1223-02</t>
  </si>
  <si>
    <t>38-1219-02</t>
  </si>
  <si>
    <t>38-1217-02</t>
  </si>
  <si>
    <t>38-1214-02</t>
  </si>
  <si>
    <t>38-1209-02</t>
  </si>
  <si>
    <t>38-1205-02</t>
  </si>
  <si>
    <t>38-1457-03</t>
  </si>
  <si>
    <t>Material</t>
  </si>
  <si>
    <t>Beginning</t>
  </si>
  <si>
    <t>End</t>
  </si>
  <si>
    <t>38-0669-03</t>
  </si>
  <si>
    <t>38-1188-02</t>
  </si>
  <si>
    <t>38-1194-02</t>
  </si>
  <si>
    <t>38-1196-02</t>
  </si>
  <si>
    <t>38-1199-02</t>
  </si>
  <si>
    <t>38-1439-03</t>
  </si>
</sst>
</file>

<file path=xl/styles.xml><?xml version="1.0" encoding="utf-8"?>
<styleSheet xmlns="http://schemas.openxmlformats.org/spreadsheetml/2006/main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horizontal="center" shrinkToFit="1"/>
    </xf>
    <xf numFmtId="2" fontId="0" fillId="0" borderId="0" xfId="0" applyNumberFormat="1" applyAlignment="1">
      <alignment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zoomScale="160" zoomScaleNormal="160" workbookViewId="0">
      <selection activeCell="I26" sqref="I26"/>
    </sheetView>
  </sheetViews>
  <sheetFormatPr defaultRowHeight="14"/>
  <sheetData>
    <row r="1" spans="1:3">
      <c r="A1" s="2" t="s">
        <v>17</v>
      </c>
      <c r="B1" s="2" t="s">
        <v>18</v>
      </c>
      <c r="C1" s="2" t="s">
        <v>19</v>
      </c>
    </row>
    <row r="2" spans="1:3">
      <c r="A2" s="2" t="s">
        <v>0</v>
      </c>
      <c r="B2" s="2">
        <v>20</v>
      </c>
      <c r="C2" s="2">
        <v>90</v>
      </c>
    </row>
    <row r="3" spans="1:3">
      <c r="A3" s="2" t="s">
        <v>1</v>
      </c>
      <c r="B3" s="2">
        <v>50</v>
      </c>
      <c r="C3" s="2">
        <v>140</v>
      </c>
    </row>
    <row r="4" spans="1:3">
      <c r="A4" s="2" t="s">
        <v>2</v>
      </c>
      <c r="B4" s="2">
        <v>150</v>
      </c>
      <c r="C4" s="2">
        <v>720</v>
      </c>
    </row>
    <row r="5" spans="1:3">
      <c r="A5" s="2" t="s">
        <v>16</v>
      </c>
      <c r="B5" s="2">
        <v>25</v>
      </c>
      <c r="C5" s="2">
        <v>60</v>
      </c>
    </row>
    <row r="6" spans="1:3">
      <c r="A6" s="2" t="s">
        <v>3</v>
      </c>
      <c r="B6" s="2">
        <v>300</v>
      </c>
      <c r="C6" s="2">
        <v>740</v>
      </c>
    </row>
    <row r="7" spans="1:3">
      <c r="A7" s="2" t="s">
        <v>4</v>
      </c>
      <c r="B7" s="2">
        <v>29</v>
      </c>
      <c r="C7" s="2">
        <v>72</v>
      </c>
    </row>
    <row r="8" spans="1:3">
      <c r="A8" s="2" t="s">
        <v>5</v>
      </c>
      <c r="B8" s="2">
        <v>100</v>
      </c>
      <c r="C8" s="2">
        <v>900</v>
      </c>
    </row>
    <row r="9" spans="1:3">
      <c r="A9" s="2" t="s">
        <v>6</v>
      </c>
      <c r="B9" s="2">
        <v>20</v>
      </c>
      <c r="C9" s="2">
        <v>300</v>
      </c>
    </row>
    <row r="10" spans="1:3">
      <c r="A10" s="2" t="s">
        <v>7</v>
      </c>
      <c r="B10" s="2">
        <v>37</v>
      </c>
      <c r="C10" s="2">
        <v>150</v>
      </c>
    </row>
    <row r="11" spans="1:3">
      <c r="A11" s="2" t="s">
        <v>8</v>
      </c>
      <c r="B11" s="2">
        <v>385</v>
      </c>
      <c r="C11" s="2">
        <v>910</v>
      </c>
    </row>
    <row r="12" spans="1:3">
      <c r="A12" s="2" t="s">
        <v>9</v>
      </c>
      <c r="B12" s="2">
        <v>60</v>
      </c>
      <c r="C12" s="2">
        <v>480</v>
      </c>
    </row>
    <row r="13" spans="1:3">
      <c r="A13" s="2" t="s">
        <v>10</v>
      </c>
      <c r="B13" s="2">
        <v>58</v>
      </c>
      <c r="C13" s="2">
        <v>160</v>
      </c>
    </row>
    <row r="14" spans="1:3">
      <c r="A14" s="2" t="s">
        <v>11</v>
      </c>
      <c r="B14" s="2">
        <v>180</v>
      </c>
      <c r="C14" s="2">
        <v>800</v>
      </c>
    </row>
    <row r="15" spans="1:3">
      <c r="A15" s="2" t="s">
        <v>12</v>
      </c>
      <c r="B15" s="2">
        <v>20</v>
      </c>
      <c r="C15" s="2">
        <v>85</v>
      </c>
    </row>
    <row r="16" spans="1:3">
      <c r="A16" s="2" t="s">
        <v>13</v>
      </c>
      <c r="B16" s="2">
        <v>22</v>
      </c>
      <c r="C16" s="2">
        <v>60</v>
      </c>
    </row>
    <row r="17" spans="1:3">
      <c r="A17" s="2" t="s">
        <v>14</v>
      </c>
      <c r="B17" s="2">
        <v>750</v>
      </c>
      <c r="C17" s="2">
        <v>1500</v>
      </c>
    </row>
    <row r="18" spans="1:3">
      <c r="A18" s="2" t="s">
        <v>15</v>
      </c>
      <c r="B18" s="2">
        <v>200</v>
      </c>
      <c r="C18" s="2">
        <v>450</v>
      </c>
    </row>
    <row r="19" spans="1:3">
      <c r="A19" s="1" t="s">
        <v>20</v>
      </c>
      <c r="B19" s="3">
        <f>2*0.4/11.15</f>
        <v>7.1748878923766815E-2</v>
      </c>
      <c r="C19" s="3">
        <f>2*5.6/11.15</f>
        <v>1.0044843049327354</v>
      </c>
    </row>
    <row r="20" spans="1:3">
      <c r="A20" s="1" t="s">
        <v>21</v>
      </c>
      <c r="B20" s="3">
        <f>20*0.7/5.2</f>
        <v>2.6923076923076921</v>
      </c>
      <c r="C20" s="3">
        <f>20*2.4/5.2</f>
        <v>9.2307692307692299</v>
      </c>
    </row>
    <row r="21" spans="1:3">
      <c r="A21" s="1" t="s">
        <v>22</v>
      </c>
      <c r="B21" s="3">
        <f>50*1.3/16.15</f>
        <v>4.0247678018575854</v>
      </c>
      <c r="C21" s="3">
        <f>50*12.85/16.15</f>
        <v>39.783281733746136</v>
      </c>
    </row>
    <row r="22" spans="1:3">
      <c r="A22" s="1" t="s">
        <v>23</v>
      </c>
      <c r="B22" s="3">
        <f>250*0.3/9.97</f>
        <v>7.5225677031093277</v>
      </c>
      <c r="C22" s="3">
        <f>250*(10.5+9.97)/9.97</f>
        <v>513.28986960882639</v>
      </c>
    </row>
    <row r="23" spans="1:3">
      <c r="A23" s="1" t="s">
        <v>24</v>
      </c>
      <c r="B23" s="3">
        <f>10*(14.8+2.3)/14.8</f>
        <v>11.554054054054053</v>
      </c>
      <c r="C23" s="3">
        <f>10*(14.8*2+0.4)/14.8</f>
        <v>20.27027027027027</v>
      </c>
    </row>
    <row r="24" spans="1:3">
      <c r="A24" s="1" t="s">
        <v>25</v>
      </c>
      <c r="B24" s="3">
        <f>10*(8.05-2.85)/8.05</f>
        <v>6.4596273291925481</v>
      </c>
      <c r="C24" s="3">
        <f>10*(6.1-1.5+8.05)/8.05</f>
        <v>15.714285714285714</v>
      </c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Шевелев Артем Александрович</dc:creator>
  <cp:lastModifiedBy>KNS</cp:lastModifiedBy>
  <dcterms:created xsi:type="dcterms:W3CDTF">2024-11-04T18:39:53Z</dcterms:created>
  <dcterms:modified xsi:type="dcterms:W3CDTF">2025-02-09T08:52:31Z</dcterms:modified>
</cp:coreProperties>
</file>